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20" yWindow="-120" windowWidth="29040" windowHeight="17640"/>
  </bookViews>
  <sheets>
    <sheet name="CARGO FINANCIERO" sheetId="1" r:id="rId1"/>
  </sheets>
  <definedNames>
    <definedName name="ColumnTitleRegion2..E12.1">'CARGO FINANCIERO'!$D$4</definedName>
    <definedName name="ColumnTitleRegion3..D14">'CARGO FINANCIERO'!$B$10</definedName>
    <definedName name="Nombre_de_la_empresa">'CARGO FINANCIERO'!$B$1</definedName>
    <definedName name="RegiónTítuloColumna1..B12.1">'CARGO FINANCIERO'!$B$4</definedName>
    <definedName name="RegiónTítuloFila1..E5">'CARGO FINANCIERO'!$D$2</definedName>
    <definedName name="TítuloColumna1">Datos[[#Headers],[DESCRIPCIÓN]]</definedName>
    <definedName name="_xlnm.Print_Titles" localSheetId="0">'CARGO FINANCIERO'!$13:$13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6" i="1"/>
  <c r="F17" i="1"/>
  <c r="F18" i="1"/>
  <c r="F19" i="1"/>
  <c r="F20" i="1"/>
  <c r="F21" i="1"/>
  <c r="F22" i="1"/>
  <c r="F23" i="1"/>
  <c r="F14" i="1"/>
  <c r="B25" i="1"/>
  <c r="F24" i="1" l="1"/>
</calcChain>
</file>

<file path=xl/sharedStrings.xml><?xml version="1.0" encoding="utf-8"?>
<sst xmlns="http://schemas.openxmlformats.org/spreadsheetml/2006/main" count="34" uniqueCount="32">
  <si>
    <t>CASTORES S.L.</t>
  </si>
  <si>
    <t>PRESUPUESTO</t>
  </si>
  <si>
    <r>
      <rPr>
        <b/>
        <sz val="11"/>
        <color rgb="FF266066"/>
        <rFont val="Century Gothic"/>
        <scheme val="major"/>
      </rPr>
      <t>Teléfono:</t>
    </r>
    <r>
      <rPr>
        <sz val="11"/>
        <color rgb="FF266066"/>
        <rFont val="Century Gothic"/>
        <scheme val="major"/>
      </rPr>
      <t xml:space="preserve"> 722 20 21 22 | </t>
    </r>
    <r>
      <rPr>
        <b/>
        <sz val="11"/>
        <color rgb="FF266066"/>
        <rFont val="Century Gothic"/>
        <scheme val="major"/>
      </rPr>
      <t>Correo electrónico:</t>
    </r>
    <r>
      <rPr>
        <sz val="11"/>
        <color rgb="FF266066"/>
        <rFont val="Century Gothic"/>
        <scheme val="major"/>
      </rPr>
      <t xml:space="preserve"> castorescampus@gmail.com</t>
    </r>
  </si>
  <si>
    <t>FACTURAR A:</t>
  </si>
  <si>
    <t>ENVIAR A:</t>
  </si>
  <si>
    <t>Nombre de la empresa</t>
  </si>
  <si>
    <t>Castores S.L.</t>
  </si>
  <si>
    <t>Campus Digital</t>
  </si>
  <si>
    <t>Ciudad y código postal</t>
  </si>
  <si>
    <t>Zaragoza, 50001</t>
  </si>
  <si>
    <t>Zaragoza, 50018</t>
  </si>
  <si>
    <t>TRABAJO</t>
  </si>
  <si>
    <t>CONDICIONES DE PAGO</t>
  </si>
  <si>
    <t>Instalación de red, electricidad y rack en puesto de trabajo</t>
  </si>
  <si>
    <t>Contado tras la finalización de la instalación</t>
  </si>
  <si>
    <t>DESCRIPCIÓN</t>
  </si>
  <si>
    <t>CANTIDAD</t>
  </si>
  <si>
    <t>IMPORTE</t>
  </si>
  <si>
    <t>ENVÍO</t>
  </si>
  <si>
    <t>TOTAL</t>
  </si>
  <si>
    <t>Canaleta</t>
  </si>
  <si>
    <t>Tornillos x25</t>
  </si>
  <si>
    <t>Enchufe x10</t>
  </si>
  <si>
    <t>Rack</t>
  </si>
  <si>
    <t>Switch</t>
  </si>
  <si>
    <t>Conectores RJ45</t>
  </si>
  <si>
    <t>Cable rj45</t>
  </si>
  <si>
    <t>Empalme r45 / roseta</t>
  </si>
  <si>
    <t>Embellecedor rj45</t>
  </si>
  <si>
    <t>Cable eléctrico(/metro)</t>
  </si>
  <si>
    <t>TOTAL A PAGAR</t>
  </si>
  <si>
    <t>¡Gracias por su confianza!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</si>
</sst>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€&quot;_-;\-* #,##0\ &quot;€&quot;_-;_-* &quot;-&quot;\ &quot;€&quot;_-;_-@_-"/>
    <numFmt numFmtId="164" formatCode="_(* #,##0_);_(* \(#,##0\);_(* &quot;-&quot;_);_(@_)"/>
    <numFmt numFmtId="165" formatCode="[&lt;=9999999]###\-####;\(###\)\ ###\-####"/>
    <numFmt numFmtId="166" formatCode="#,##0.00\ &quot;€&quot;"/>
  </numFmts>
  <fonts count="39">
    <font>
      <sz val="11"/>
      <color theme="1" tint="0.2499465926084170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0"/>
      <name val="Calibri"/>
      <family val="2"/>
      <scheme val="minor"/>
    </font>
    <font>
      <b/>
      <sz val="11"/>
      <color theme="1" tint="0.24994659260841701"/>
      <name val="Century Gothic"/>
      <family val="2"/>
      <scheme val="major"/>
    </font>
    <font>
      <sz val="11"/>
      <color theme="1" tint="0.24994659260841701"/>
      <name val="Calibri"/>
      <family val="2"/>
      <scheme val="minor"/>
    </font>
    <font>
      <sz val="11"/>
      <color theme="1" tint="0.24994659260841701"/>
      <name val="Century Gothic"/>
      <family val="2"/>
      <scheme val="major"/>
    </font>
    <font>
      <sz val="11"/>
      <color theme="5" tint="-0.499984740745262"/>
      <name val="Calibri"/>
      <family val="2"/>
      <scheme val="minor"/>
    </font>
    <font>
      <b/>
      <sz val="16"/>
      <color theme="5" tint="-0.24994659260841701"/>
      <name val="Century Gothic"/>
      <family val="2"/>
      <scheme val="major"/>
    </font>
    <font>
      <sz val="28"/>
      <color theme="5" tint="-0.24994659260841701"/>
      <name val="Century Gothic"/>
      <family val="2"/>
      <scheme val="major"/>
    </font>
    <font>
      <b/>
      <sz val="11"/>
      <color theme="5" tint="-0.499984740745262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 tint="0.249977111117893"/>
      <name val="Century Gothic"/>
      <family val="2"/>
      <scheme val="major"/>
    </font>
    <font>
      <sz val="11"/>
      <color theme="1" tint="0.249977111117893"/>
      <name val="Calibri"/>
      <family val="2"/>
      <scheme val="minor"/>
    </font>
    <font>
      <sz val="11"/>
      <color theme="1" tint="0.249977111117893"/>
      <name val="Century Gothic"/>
      <family val="2"/>
      <scheme val="major"/>
    </font>
    <font>
      <sz val="11"/>
      <color theme="1" tint="0.249977111117893"/>
      <name val="Century Gothic"/>
      <family val="1"/>
    </font>
    <font>
      <b/>
      <sz val="11"/>
      <color theme="1" tint="0.249977111117893"/>
      <name val="Century Gothic"/>
      <family val="1"/>
      <scheme val="major"/>
    </font>
    <font>
      <i/>
      <sz val="11"/>
      <color theme="1" tint="0.249977111117893"/>
      <name val="Calibri"/>
      <family val="2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11"/>
      <color rgb="FF266066"/>
      <name val="Century Gothic"/>
      <scheme val="major"/>
    </font>
    <font>
      <sz val="11"/>
      <color rgb="FF266066"/>
      <name val="Century Gothic"/>
      <scheme val="major"/>
    </font>
    <font>
      <sz val="72"/>
      <color rgb="FF000000"/>
      <name val="Century Gothic"/>
      <family val="2"/>
      <scheme val="major"/>
    </font>
    <font>
      <b/>
      <sz val="26"/>
      <color rgb="FF000000"/>
      <name val="Century Gothic"/>
      <scheme val="major"/>
    </font>
    <font>
      <b/>
      <sz val="11"/>
      <color theme="1"/>
      <name val="Calibri"/>
      <family val="2"/>
      <scheme val="minor"/>
    </font>
    <font>
      <sz val="28"/>
      <color rgb="FF000000"/>
      <name val="Century Gothic"/>
      <scheme val="major"/>
    </font>
    <font>
      <b/>
      <sz val="11"/>
      <color theme="1" tint="0.249977111117893"/>
      <name val="Century Gothic"/>
      <scheme val="major"/>
    </font>
    <font>
      <sz val="11"/>
      <color theme="1" tint="0.249977111117893"/>
      <name val="Century Gothic"/>
      <scheme val="major"/>
    </font>
    <font>
      <sz val="11"/>
      <color rgb="FF404040"/>
      <name val="Century Gothic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AA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8"/>
      </bottom>
      <diagonal/>
    </border>
    <border>
      <left/>
      <right/>
      <top style="thin">
        <color theme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</borders>
  <cellStyleXfs count="54">
    <xf numFmtId="0" fontId="0" fillId="0" borderId="0">
      <alignment wrapText="1"/>
    </xf>
    <xf numFmtId="0" fontId="8" fillId="0" borderId="0" applyNumberFormat="0" applyFill="0" applyBorder="0" applyProtection="0">
      <alignment horizontal="right"/>
    </xf>
    <xf numFmtId="0" fontId="7" fillId="0" borderId="0" applyNumberFormat="0" applyFill="0" applyBorder="0" applyProtection="0">
      <alignment horizontal="left"/>
    </xf>
    <xf numFmtId="0" fontId="3" fillId="0" borderId="0" applyNumberFormat="0" applyFill="0" applyProtection="0"/>
    <xf numFmtId="0" fontId="5" fillId="0" borderId="0" applyNumberFormat="0" applyFill="0" applyProtection="0">
      <alignment horizontal="left"/>
    </xf>
    <xf numFmtId="0" fontId="10" fillId="0" borderId="0" applyNumberFormat="0" applyFill="0" applyBorder="0" applyProtection="0">
      <alignment horizontal="center" wrapText="1"/>
    </xf>
    <xf numFmtId="4" fontId="4" fillId="0" borderId="0" applyFont="0" applyFill="0" applyBorder="0" applyProtection="0">
      <alignment horizontal="right"/>
    </xf>
    <xf numFmtId="164" fontId="4" fillId="0" borderId="0" applyFill="0" applyBorder="0" applyAlignment="0" applyProtection="0"/>
    <xf numFmtId="166" fontId="4" fillId="0" borderId="0" applyFont="0" applyFill="0" applyBorder="0" applyProtection="0">
      <alignment horizontal="right"/>
    </xf>
    <xf numFmtId="4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" fillId="0" borderId="1" applyNumberFormat="0" applyFill="0" applyProtection="0">
      <alignment horizontal="left" wrapText="1"/>
    </xf>
    <xf numFmtId="0" fontId="6" fillId="2" borderId="0" applyNumberFormat="0" applyBorder="0" applyProtection="0">
      <alignment wrapText="1"/>
    </xf>
    <xf numFmtId="0" fontId="4" fillId="0" borderId="0" applyNumberFormat="0" applyFont="0" applyFill="0" applyBorder="0">
      <alignment horizontal="left" wrapText="1" indent="8"/>
    </xf>
    <xf numFmtId="165" fontId="4" fillId="0" borderId="0" applyFont="0" applyFill="0" applyBorder="0" applyAlignment="0">
      <alignment horizontal="left" vertical="top" wrapText="1"/>
    </xf>
    <xf numFmtId="14" fontId="4" fillId="0" borderId="0" applyFont="0" applyFill="0" applyBorder="0" applyAlignment="0">
      <alignment horizontal="left" vertical="top" wrapText="1"/>
    </xf>
    <xf numFmtId="0" fontId="5" fillId="0" borderId="0" applyNumberFormat="0" applyFill="0" applyBorder="0" applyProtection="0">
      <alignment horizontal="left" wrapText="1"/>
    </xf>
    <xf numFmtId="0" fontId="5" fillId="0" borderId="0" applyNumberFormat="0" applyFill="0" applyBorder="0" applyProtection="0">
      <alignment horizontal="left" wrapText="1"/>
    </xf>
    <xf numFmtId="0" fontId="4" fillId="0" borderId="0" applyNumberFormat="0" applyFont="0" applyFill="0" applyBorder="0">
      <alignment horizontal="left" wrapText="1" indent="8"/>
    </xf>
    <xf numFmtId="0" fontId="11" fillId="0" borderId="0" applyNumberFormat="0" applyFill="0" applyBorder="0" applyAlignment="0">
      <alignment wrapText="1"/>
    </xf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15" applyNumberFormat="0" applyAlignment="0" applyProtection="0"/>
    <xf numFmtId="0" fontId="22" fillId="7" borderId="16" applyNumberFormat="0" applyAlignment="0" applyProtection="0"/>
    <xf numFmtId="0" fontId="23" fillId="0" borderId="17" applyNumberFormat="0" applyFill="0" applyAlignment="0" applyProtection="0"/>
    <xf numFmtId="0" fontId="24" fillId="8" borderId="18" applyNumberFormat="0" applyAlignment="0" applyProtection="0"/>
    <xf numFmtId="0" fontId="25" fillId="0" borderId="0" applyNumberFormat="0" applyFill="0" applyBorder="0" applyAlignment="0" applyProtection="0"/>
    <xf numFmtId="0" fontId="4" fillId="9" borderId="19" applyNumberFormat="0" applyFont="0" applyAlignment="0" applyProtection="0"/>
    <xf numFmtId="0" fontId="26" fillId="0" borderId="20" applyNumberFormat="0" applyFill="0" applyAlignment="0" applyProtection="0"/>
    <xf numFmtId="0" fontId="2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7" fillId="0" borderId="0" applyNumberFormat="0" applyFill="0" applyBorder="0" applyAlignment="0" applyProtection="0">
      <alignment wrapText="1"/>
    </xf>
  </cellStyleXfs>
  <cellXfs count="54">
    <xf numFmtId="0" fontId="0" fillId="0" borderId="0" xfId="0">
      <alignment wrapText="1"/>
    </xf>
    <xf numFmtId="0" fontId="2" fillId="0" borderId="0" xfId="0" applyFont="1">
      <alignment wrapText="1"/>
    </xf>
    <xf numFmtId="0" fontId="5" fillId="0" borderId="0" xfId="4">
      <alignment horizontal="left"/>
    </xf>
    <xf numFmtId="0" fontId="3" fillId="0" borderId="0" xfId="3"/>
    <xf numFmtId="0" fontId="12" fillId="0" borderId="10" xfId="3" applyFont="1" applyBorder="1" applyAlignment="1">
      <alignment horizontal="left" indent="8"/>
    </xf>
    <xf numFmtId="0" fontId="14" fillId="0" borderId="11" xfId="13" applyFont="1" applyBorder="1">
      <alignment horizontal="left" wrapText="1" indent="8"/>
    </xf>
    <xf numFmtId="165" fontId="14" fillId="0" borderId="12" xfId="14" applyFont="1" applyBorder="1" applyAlignment="1">
      <alignment horizontal="left" vertical="top" wrapText="1" indent="8"/>
    </xf>
    <xf numFmtId="165" fontId="14" fillId="0" borderId="0" xfId="14" applyFont="1" applyBorder="1" applyAlignment="1">
      <alignment horizontal="left" vertical="top" wrapText="1" indent="8"/>
    </xf>
    <xf numFmtId="0" fontId="13" fillId="0" borderId="0" xfId="0" applyFont="1">
      <alignment wrapText="1"/>
    </xf>
    <xf numFmtId="0" fontId="15" fillId="0" borderId="0" xfId="0" applyFont="1" applyAlignment="1">
      <alignment vertical="top" wrapText="1"/>
    </xf>
    <xf numFmtId="165" fontId="14" fillId="0" borderId="0" xfId="14" applyFont="1" applyBorder="1">
      <alignment horizontal="left" vertical="top" wrapText="1"/>
    </xf>
    <xf numFmtId="0" fontId="14" fillId="0" borderId="14" xfId="4" applyFont="1" applyFill="1" applyBorder="1">
      <alignment horizontal="left"/>
    </xf>
    <xf numFmtId="0" fontId="29" fillId="0" borderId="0" xfId="4" applyFont="1" applyAlignment="1">
      <alignment horizontal="left" indent="1"/>
    </xf>
    <xf numFmtId="0" fontId="31" fillId="33" borderId="0" xfId="2" applyFont="1" applyFill="1" applyBorder="1" applyAlignment="1">
      <alignment horizontal="left" vertical="center" indent="1"/>
    </xf>
    <xf numFmtId="0" fontId="16" fillId="33" borderId="0" xfId="0" applyFont="1" applyFill="1" applyAlignment="1">
      <alignment horizontal="left" wrapText="1" indent="1"/>
    </xf>
    <xf numFmtId="0" fontId="16" fillId="33" borderId="0" xfId="0" applyFont="1" applyFill="1" applyAlignment="1">
      <alignment horizontal="center" wrapText="1"/>
    </xf>
    <xf numFmtId="0" fontId="16" fillId="33" borderId="0" xfId="0" applyFont="1" applyFill="1" applyAlignment="1">
      <alignment horizontal="right" wrapText="1" indent="2"/>
    </xf>
    <xf numFmtId="0" fontId="13" fillId="0" borderId="2" xfId="0" applyFont="1" applyBorder="1" applyAlignment="1">
      <alignment horizontal="left" vertical="center" wrapText="1"/>
    </xf>
    <xf numFmtId="0" fontId="34" fillId="0" borderId="3" xfId="3" applyFont="1" applyBorder="1" applyAlignment="1">
      <alignment horizontal="left" vertical="center"/>
    </xf>
    <xf numFmtId="0" fontId="34" fillId="0" borderId="4" xfId="3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35" fillId="0" borderId="6" xfId="4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165" fontId="35" fillId="0" borderId="9" xfId="14" applyFont="1" applyBorder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0" fillId="0" borderId="0" xfId="0" applyAlignment="1"/>
    <xf numFmtId="0" fontId="13" fillId="33" borderId="0" xfId="0" applyFont="1" applyFill="1" applyBorder="1">
      <alignment wrapText="1"/>
    </xf>
    <xf numFmtId="0" fontId="13" fillId="33" borderId="0" xfId="0" applyFont="1" applyFill="1" applyBorder="1" applyAlignment="1">
      <alignment horizontal="right"/>
    </xf>
    <xf numFmtId="166" fontId="13" fillId="33" borderId="0" xfId="0" applyNumberFormat="1" applyFont="1" applyFill="1" applyBorder="1" applyAlignment="1">
      <alignment horizontal="right" wrapText="1" indent="1"/>
    </xf>
    <xf numFmtId="0" fontId="2" fillId="0" borderId="0" xfId="0" applyFont="1" applyBorder="1">
      <alignment wrapText="1"/>
    </xf>
    <xf numFmtId="0" fontId="32" fillId="0" borderId="23" xfId="16" applyFont="1" applyBorder="1" applyAlignment="1">
      <alignment horizontal="left" wrapText="1"/>
    </xf>
    <xf numFmtId="4" fontId="38" fillId="0" borderId="22" xfId="6" applyFont="1" applyFill="1" applyBorder="1" applyAlignment="1">
      <alignment horizontal="center"/>
    </xf>
    <xf numFmtId="166" fontId="38" fillId="0" borderId="22" xfId="8" applyFont="1" applyBorder="1" applyAlignment="1">
      <alignment horizontal="center"/>
    </xf>
    <xf numFmtId="166" fontId="38" fillId="0" borderId="22" xfId="8" applyFont="1" applyBorder="1" applyAlignment="1">
      <alignment horizontal="right" indent="1"/>
    </xf>
    <xf numFmtId="4" fontId="38" fillId="0" borderId="0" xfId="6" applyFont="1" applyFill="1" applyBorder="1" applyAlignment="1">
      <alignment horizontal="center"/>
    </xf>
    <xf numFmtId="166" fontId="38" fillId="0" borderId="0" xfId="8" applyFont="1" applyBorder="1" applyAlignment="1">
      <alignment horizontal="center"/>
    </xf>
    <xf numFmtId="166" fontId="38" fillId="0" borderId="0" xfId="8" applyFont="1" applyFill="1" applyBorder="1" applyAlignment="1">
      <alignment horizontal="center"/>
    </xf>
    <xf numFmtId="4" fontId="38" fillId="0" borderId="25" xfId="6" applyFont="1" applyBorder="1" applyAlignment="1">
      <alignment horizontal="center"/>
    </xf>
    <xf numFmtId="166" fontId="38" fillId="0" borderId="25" xfId="8" applyFont="1" applyBorder="1" applyAlignment="1">
      <alignment horizontal="center"/>
    </xf>
    <xf numFmtId="0" fontId="16" fillId="33" borderId="0" xfId="0" applyFont="1" applyFill="1">
      <alignment wrapText="1"/>
    </xf>
    <xf numFmtId="0" fontId="32" fillId="0" borderId="21" xfId="53" applyFont="1" applyBorder="1" applyAlignment="1">
      <alignment horizontal="left" wrapText="1"/>
    </xf>
    <xf numFmtId="0" fontId="32" fillId="0" borderId="23" xfId="53" applyFont="1" applyBorder="1" applyAlignment="1">
      <alignment wrapText="1"/>
    </xf>
    <xf numFmtId="0" fontId="32" fillId="0" borderId="23" xfId="53" applyFont="1" applyFill="1" applyBorder="1" applyAlignment="1">
      <alignment wrapText="1"/>
    </xf>
    <xf numFmtId="0" fontId="32" fillId="0" borderId="24" xfId="53" applyFont="1" applyBorder="1" applyAlignment="1">
      <alignment wrapText="1"/>
    </xf>
    <xf numFmtId="0" fontId="33" fillId="33" borderId="0" xfId="1" applyFont="1" applyFill="1" applyBorder="1" applyAlignment="1">
      <alignment horizontal="center" vertical="center"/>
    </xf>
    <xf numFmtId="0" fontId="30" fillId="33" borderId="0" xfId="1" applyFont="1" applyFill="1" applyBorder="1" applyAlignment="1">
      <alignment horizontal="center" vertical="center"/>
    </xf>
    <xf numFmtId="0" fontId="17" fillId="0" borderId="0" xfId="5" applyFont="1" applyBorder="1" applyAlignment="1">
      <alignment horizontal="center" vertical="top" wrapText="1"/>
    </xf>
    <xf numFmtId="0" fontId="17" fillId="0" borderId="0" xfId="5" applyFont="1" applyBorder="1" applyAlignment="1">
      <alignment horizontal="center" wrapText="1"/>
    </xf>
    <xf numFmtId="0" fontId="16" fillId="33" borderId="0" xfId="11" applyFont="1" applyFill="1" applyBorder="1" applyAlignment="1">
      <alignment horizontal="left" wrapText="1"/>
    </xf>
    <xf numFmtId="0" fontId="13" fillId="0" borderId="13" xfId="12" applyFont="1" applyFill="1" applyBorder="1" applyAlignment="1"/>
    <xf numFmtId="0" fontId="16" fillId="33" borderId="0" xfId="11" applyFont="1" applyFill="1" applyBorder="1" applyAlignment="1">
      <alignment horizontal="left" wrapText="1" indent="1"/>
    </xf>
    <xf numFmtId="0" fontId="13" fillId="0" borderId="13" xfId="12" applyFont="1" applyFill="1" applyBorder="1" applyAlignment="1">
      <alignment horizontal="left" indent="1"/>
    </xf>
  </cellXfs>
  <cellStyles count="54">
    <cellStyle name="20% - Énfasis1" xfId="31" builtinId="30" customBuiltin="1"/>
    <cellStyle name="20% - Énfasis2" xfId="12" builtinId="34" customBuiltin="1"/>
    <cellStyle name="20% - Énfasis3" xfId="38" builtinId="38" customBuiltin="1"/>
    <cellStyle name="20% - Énfasis4" xfId="42" builtinId="42" customBuiltin="1"/>
    <cellStyle name="20% - Énfasis5" xfId="46" builtinId="46" customBuiltin="1"/>
    <cellStyle name="20% - Énfasis6" xfId="50" builtinId="50" customBuiltin="1"/>
    <cellStyle name="40% - Énfasis1" xfId="32" builtinId="31" customBuiltin="1"/>
    <cellStyle name="40% - Énfasis2" xfId="35" builtinId="35" customBuiltin="1"/>
    <cellStyle name="40% - Énfasis3" xfId="39" builtinId="39" customBuiltin="1"/>
    <cellStyle name="40% - Énfasis4" xfId="43" builtinId="43" customBuiltin="1"/>
    <cellStyle name="40% - Énfasis5" xfId="47" builtinId="47" customBuiltin="1"/>
    <cellStyle name="40% - Énfasis6" xfId="51" builtinId="51" customBuiltin="1"/>
    <cellStyle name="60% - Énfasis1" xfId="33" builtinId="32" customBuiltin="1"/>
    <cellStyle name="60% - Énfasis2" xfId="36" builtinId="36" customBuiltin="1"/>
    <cellStyle name="60% - Énfasis3" xfId="40" builtinId="40" customBuiltin="1"/>
    <cellStyle name="60% - Énfasis4" xfId="44" builtinId="44" customBuiltin="1"/>
    <cellStyle name="60% - Énfasis5" xfId="48" builtinId="48" customBuiltin="1"/>
    <cellStyle name="60% - Énfasis6" xfId="52" builtinId="52" customBuiltin="1"/>
    <cellStyle name="Buena" xfId="20" builtinId="26" customBuiltin="1"/>
    <cellStyle name="Cálculo" xfId="18" builtinId="22" customBuiltin="1"/>
    <cellStyle name="Celda de comprobación" xfId="26" builtinId="23" customBuiltin="1"/>
    <cellStyle name="Celda vinculada" xfId="25" builtinId="24" customBuiltin="1"/>
    <cellStyle name="Detalles de Facturar a" xfId="13"/>
    <cellStyle name="Encabezado 1" xfId="2" builtinId="16" customBuiltin="1"/>
    <cellStyle name="Encabezado 4" xfId="11" builtinId="19" customBuiltin="1"/>
    <cellStyle name="Énfasis1" xfId="30" builtinId="29" customBuiltin="1"/>
    <cellStyle name="Énfasis2" xfId="34" builtinId="33" customBuiltin="1"/>
    <cellStyle name="Énfasis3" xfId="37" builtinId="37" customBuiltin="1"/>
    <cellStyle name="Énfasis4" xfId="41" builtinId="41" customBuiltin="1"/>
    <cellStyle name="Énfasis5" xfId="45" builtinId="45" customBuiltin="1"/>
    <cellStyle name="Énfasis6" xfId="49" builtinId="49" customBuiltin="1"/>
    <cellStyle name="Entrada" xfId="23" builtinId="20" customBuiltin="1"/>
    <cellStyle name="Eslogan" xfId="19"/>
    <cellStyle name="Fecha" xfId="15"/>
    <cellStyle name="Hipervínculo" xfId="16" builtinId="8" customBuiltin="1"/>
    <cellStyle name="Hipervínculo visitado" xfId="17" builtinId="9" customBuiltin="1"/>
    <cellStyle name="Hyperlink" xfId="53"/>
    <cellStyle name="Incorrecto" xfId="21" builtinId="27" customBuiltin="1"/>
    <cellStyle name="Millares" xfId="6" builtinId="3" customBuiltin="1"/>
    <cellStyle name="Millares [0]" xfId="7" builtinId="6" customBuiltin="1"/>
    <cellStyle name="Moneda" xfId="8" builtinId="4" customBuiltin="1"/>
    <cellStyle name="Moneda [0]" xfId="9" builtinId="7" customBuiltin="1"/>
    <cellStyle name="Neutral" xfId="22" builtinId="28" customBuiltin="1"/>
    <cellStyle name="Normal" xfId="0" builtinId="0" customBuiltin="1"/>
    <cellStyle name="Notas" xfId="28" builtinId="10" customBuiltin="1"/>
    <cellStyle name="Porcentaje" xfId="10" builtinId="5" customBuiltin="1"/>
    <cellStyle name="Salida" xfId="24" builtinId="21" customBuiltin="1"/>
    <cellStyle name="Teléfono" xfId="14"/>
    <cellStyle name="Texto de advertencia" xfId="27" builtinId="11" customBuiltin="1"/>
    <cellStyle name="Texto explicativo" xfId="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29" builtinId="25" customBuiltin="1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numFmt numFmtId="166" formatCode="#,##0.00\ &quot;€&quot;"/>
      <fill>
        <patternFill patternType="solid">
          <fgColor indexed="64"/>
          <bgColor rgb="FFFFAA00"/>
        </patternFill>
      </fill>
      <alignment horizontal="right" vertical="bottom" textRotation="0" wrapText="1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fill>
        <patternFill patternType="solid">
          <fgColor indexed="64"/>
          <bgColor rgb="FFFFAA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fill>
        <patternFill patternType="solid">
          <fgColor indexed="64"/>
          <bgColor rgb="FFFFAA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fill>
        <patternFill patternType="solid">
          <fgColor indexed="64"/>
          <bgColor rgb="FFFFAA00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scheme val="minor"/>
      </font>
      <fill>
        <patternFill patternType="solid">
          <fgColor indexed="64"/>
          <bgColor rgb="FFFFAA00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\ &quot;€&quot;"/>
      <fill>
        <patternFill patternType="none">
          <fgColor indexed="64"/>
          <bgColor indexed="65"/>
        </patternFill>
      </fill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67" formatCode="_-[$€-2]\ * #,##0.00_-;\-[$€-2]\ * #,##0.00_-;_-[$€-2]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 tint="0.249977111117893"/>
      </font>
      <fill>
        <patternFill patternType="solid">
          <fgColor indexed="64"/>
          <bgColor rgb="FFFFAA0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0.249977111117893"/>
        <name val="Century Gothic"/>
        <scheme val="major"/>
      </font>
      <fill>
        <patternFill patternType="solid">
          <fgColor indexed="64"/>
          <bgColor rgb="FFFFAA0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  <border>
        <left/>
        <right/>
        <top style="thin">
          <color theme="2" tint="-9.9948118533890809E-2"/>
        </top>
        <bottom style="thin">
          <color theme="2" tint="-9.9948118533890809E-2"/>
        </bottom>
        <vertical/>
        <horizontal style="thin">
          <color theme="2" tint="-9.9948118533890809E-2"/>
        </horizontal>
      </border>
    </dxf>
  </dxfs>
  <tableStyles count="1" defaultTableStyle="TableStyleMedium2" defaultPivotStyle="PivotStyleLight16">
    <tableStyle name="Estilo de tabla 3" pivot="0" count="3">
      <tableStyleElement type="wholeTable" dxfId="15"/>
      <tableStyleElement type="headerRow" dxfId="14"/>
      <tableStyleElement type="totalRow" dxfId="13"/>
    </tableStyle>
  </tableStyles>
  <colors>
    <mruColors>
      <color rgb="FFFFB7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3105150</xdr:colOff>
      <xdr:row>0</xdr:row>
      <xdr:rowOff>38100</xdr:rowOff>
    </xdr:from>
    <xdr:to>
      <xdr:col>2</xdr:col>
      <xdr:colOff>590550</xdr:colOff>
      <xdr:row>0</xdr:row>
      <xdr:rowOff>1190625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xmlns="" id="{59DDA1A3-A1DE-4B23-D214-CF5B4C02A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125" y="38100"/>
          <a:ext cx="1209675" cy="11525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Datos" displayName="Datos" ref="B13:F24" totalsRowCount="1" headerRowDxfId="12" dataDxfId="11" totalsRowDxfId="10">
  <autoFilter ref="B13:F23"/>
  <tableColumns count="5">
    <tableColumn id="1" name="DESCRIPCIÓN" dataDxfId="9" totalsRowDxfId="4"/>
    <tableColumn id="2" name="CANTIDAD" dataDxfId="8" totalsRowDxfId="3"/>
    <tableColumn id="3" name="IMPORTE" dataDxfId="7" totalsRowDxfId="2"/>
    <tableColumn id="4" name="ENVÍO" totalsRowLabel="TOTAL A PAGAR" dataDxfId="6" totalsRowDxfId="1" dataCellStyle="Moneda"/>
    <tableColumn id="5" name="TOTAL" totalsRowFunction="custom" dataDxfId="5" totalsRowDxfId="0" dataCellStyle="Moneda">
      <calculatedColumnFormula>Datos[[#This Row],[CANTIDAD]]*Datos[[#This Row],[IMPORTE]]+Datos[[#This Row],[ENVÍO]]</calculatedColumnFormula>
      <totalsRowFormula>SUM(Datos[TOTAL])</totalsRowFormula>
    </tableColumn>
  </tableColumns>
  <tableStyleInfo name="Estilo de tabla 3" showFirstColumn="0" showLastColumn="0" showRowStripes="0" showColumnStripes="0"/>
  <extLst>
    <ext xmlns:x14="http://schemas.microsoft.com/office/spreadsheetml/2009/9/main" uri="{504A1905-F514-4f6f-8877-14C23A59335A}">
      <x14:table altTextSummary="Enter Description, Quantity, and Amount in this table.  Total will be automatically calculated"/>
    </ext>
  </extLst>
</table>
</file>

<file path=xl/theme/theme1.xml><?xml version="1.0" encoding="utf-8"?>
<a:theme xmlns:a="http://schemas.openxmlformats.org/drawingml/2006/main" name="TravelExpenseReport">
  <a:themeElements>
    <a:clrScheme name="Finance charge (blue)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Finance charge (blue)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roymerlin.es/productos/empalme-rj45-cat-6-utp-panel-de-parcheo-roseta-aisens-a139-0299-88777067.html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todoelectrico.es/es/base-enchufe-legrand-077211-mosaic-16-a-dos-modulos.html" TargetMode="External"/><Relationship Id="rId7" Type="http://schemas.openxmlformats.org/officeDocument/2006/relationships/hyperlink" Target="https://www.leroymerlin.es/productos/bobina-de-cable-rj45-awg23-utp-aisens-a135-0747-cat-6-lszh-100m-violeta-89859114.html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leroymerlin.es/productos/25-tornillo-para-madera-spax-pozidriv-con-cabeza-avellanada-4-x-l-16-mm-14676823.html" TargetMode="External"/><Relationship Id="rId1" Type="http://schemas.openxmlformats.org/officeDocument/2006/relationships/hyperlink" Target="https://almacenelectricidad.es/simon-canalizacion/829-canal-de-pvc-130x55mm-k45-de-2-compartimentos.html" TargetMode="External"/><Relationship Id="rId6" Type="http://schemas.openxmlformats.org/officeDocument/2006/relationships/hyperlink" Target="https://www.leroymerlin.es/productos/50-conectores-de-crimpado-utp-cat6-86652054.htm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ekanet.es/switch-baratos-24-puertos/2749-switch-tp-link-19-24-puertos-gigabit-.html" TargetMode="External"/><Relationship Id="rId10" Type="http://schemas.openxmlformats.org/officeDocument/2006/relationships/hyperlink" Target="https://www.bricodepot.es/manguera-h05vvf-3g2-5-25-metros-blanco-3170230003502?queryID=aa4d78ce33412eb9d1bdaacfb6e34c9e&amp;objectID=102739&amp;indexName=pro_ES_products" TargetMode="External"/><Relationship Id="rId4" Type="http://schemas.openxmlformats.org/officeDocument/2006/relationships/hyperlink" Target="https://www.leroymerlin.es/productos/gabinete-para-servidor-de-red-montaje-en-pared-6u-profundidad-37-6-cm-gabinete-en-rack-73787570.html" TargetMode="External"/><Relationship Id="rId9" Type="http://schemas.openxmlformats.org/officeDocument/2006/relationships/hyperlink" Target="https://www.ldlc.com/es-es/ficha/PB00000366.html?offerId=AR2001010110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/>
    <pageSetUpPr fitToPage="1"/>
  </sheetPr>
  <dimension ref="B1:G27"/>
  <sheetViews>
    <sheetView showGridLines="0" tabSelected="1" topLeftCell="A12" workbookViewId="0">
      <selection activeCell="F14" sqref="F14:F23"/>
    </sheetView>
  </sheetViews>
  <sheetFormatPr baseColWidth="10" defaultColWidth="8.85546875" defaultRowHeight="30" customHeight="1"/>
  <cols>
    <col min="1" max="1" width="2.7109375" customWidth="1"/>
    <col min="2" max="2" width="55.85546875" style="1" customWidth="1"/>
    <col min="3" max="5" width="21" style="1" customWidth="1"/>
    <col min="6" max="6" width="13" customWidth="1"/>
  </cols>
  <sheetData>
    <row r="1" spans="2:7" ht="96" customHeight="1">
      <c r="B1" s="13" t="s">
        <v>0</v>
      </c>
      <c r="C1" s="46" t="s">
        <v>1</v>
      </c>
      <c r="D1" s="47"/>
      <c r="E1" s="47"/>
    </row>
    <row r="2" spans="2:7" ht="19.149999999999999" customHeight="1">
      <c r="B2" s="12" t="s">
        <v>2</v>
      </c>
      <c r="D2" s="3"/>
      <c r="E2" s="2"/>
    </row>
    <row r="3" spans="2:7" ht="19.149999999999999" customHeight="1">
      <c r="B3" s="2"/>
      <c r="C3"/>
      <c r="D3"/>
      <c r="E3"/>
    </row>
    <row r="4" spans="2:7" ht="30" customHeight="1">
      <c r="B4" s="4" t="s">
        <v>3</v>
      </c>
      <c r="C4" s="17"/>
      <c r="D4" s="18" t="s">
        <v>4</v>
      </c>
      <c r="E4" s="19"/>
    </row>
    <row r="5" spans="2:7" ht="30" customHeight="1">
      <c r="B5" s="5" t="s">
        <v>5</v>
      </c>
      <c r="C5" s="20"/>
      <c r="D5" s="21" t="s">
        <v>5</v>
      </c>
      <c r="E5" s="22"/>
    </row>
    <row r="6" spans="2:7" ht="16.5" customHeight="1">
      <c r="B6" s="5" t="s">
        <v>6</v>
      </c>
      <c r="C6" s="20"/>
      <c r="D6" s="26" t="s">
        <v>7</v>
      </c>
      <c r="E6" s="22"/>
    </row>
    <row r="7" spans="2:7" ht="30" customHeight="1">
      <c r="B7" s="5" t="s">
        <v>8</v>
      </c>
      <c r="C7" s="20"/>
      <c r="D7" s="21" t="s">
        <v>8</v>
      </c>
      <c r="E7" s="22"/>
    </row>
    <row r="8" spans="2:7" ht="33" customHeight="1">
      <c r="B8" s="6" t="s">
        <v>9</v>
      </c>
      <c r="C8" s="23"/>
      <c r="D8" s="24" t="s">
        <v>10</v>
      </c>
      <c r="E8" s="25"/>
    </row>
    <row r="9" spans="2:7" ht="19.149999999999999" customHeight="1">
      <c r="B9" s="7"/>
      <c r="C9" s="8"/>
      <c r="D9" s="9"/>
      <c r="E9" s="10"/>
    </row>
    <row r="10" spans="2:7" ht="30" customHeight="1">
      <c r="B10" s="52" t="s">
        <v>11</v>
      </c>
      <c r="C10" s="52"/>
      <c r="D10" s="50" t="s">
        <v>12</v>
      </c>
      <c r="E10" s="50"/>
    </row>
    <row r="11" spans="2:7" ht="30" customHeight="1">
      <c r="B11" s="53" t="s">
        <v>13</v>
      </c>
      <c r="C11" s="53"/>
      <c r="D11" s="51" t="s">
        <v>14</v>
      </c>
      <c r="E11" s="51"/>
    </row>
    <row r="12" spans="2:7" ht="19.149999999999999" customHeight="1">
      <c r="B12" s="11"/>
      <c r="C12" s="8"/>
      <c r="D12" s="8"/>
      <c r="E12" s="8"/>
      <c r="G12" s="27"/>
    </row>
    <row r="13" spans="2:7" ht="18" customHeight="1">
      <c r="B13" s="14" t="s">
        <v>15</v>
      </c>
      <c r="C13" s="15" t="s">
        <v>16</v>
      </c>
      <c r="D13" s="15" t="s">
        <v>17</v>
      </c>
      <c r="E13" s="41" t="s">
        <v>18</v>
      </c>
      <c r="F13" s="16" t="s">
        <v>19</v>
      </c>
    </row>
    <row r="14" spans="2:7" ht="30" customHeight="1">
      <c r="B14" s="42" t="s">
        <v>20</v>
      </c>
      <c r="C14" s="33">
        <v>2</v>
      </c>
      <c r="D14" s="34">
        <v>24.65</v>
      </c>
      <c r="E14" s="34">
        <v>0</v>
      </c>
      <c r="F14" s="35">
        <f>Datos[[#This Row],[CANTIDAD]]*Datos[[#This Row],[IMPORTE]]+Datos[[#This Row],[ENVÍO]]</f>
        <v>49.3</v>
      </c>
    </row>
    <row r="15" spans="2:7" ht="30" customHeight="1">
      <c r="B15" s="32" t="s">
        <v>21</v>
      </c>
      <c r="C15" s="36">
        <v>1</v>
      </c>
      <c r="D15" s="37">
        <v>2.4900000000000002</v>
      </c>
      <c r="E15" s="37">
        <v>0</v>
      </c>
      <c r="F15" s="35">
        <f>Datos[[#This Row],[CANTIDAD]]*Datos[[#This Row],[IMPORTE]]+Datos[[#This Row],[ENVÍO]]</f>
        <v>2.4900000000000002</v>
      </c>
    </row>
    <row r="16" spans="2:7" ht="30" customHeight="1">
      <c r="B16" s="43" t="s">
        <v>22</v>
      </c>
      <c r="C16" s="36">
        <v>20</v>
      </c>
      <c r="D16" s="38">
        <v>6.42</v>
      </c>
      <c r="E16" s="38">
        <v>0</v>
      </c>
      <c r="F16" s="35">
        <f>Datos[[#This Row],[CANTIDAD]]*Datos[[#This Row],[IMPORTE]]+Datos[[#This Row],[ENVÍO]]</f>
        <v>128.4</v>
      </c>
    </row>
    <row r="17" spans="2:6" ht="30" customHeight="1">
      <c r="B17" s="43" t="s">
        <v>23</v>
      </c>
      <c r="C17" s="36">
        <v>1</v>
      </c>
      <c r="D17" s="38">
        <v>84.9</v>
      </c>
      <c r="E17" s="38">
        <v>0</v>
      </c>
      <c r="F17" s="35">
        <f>Datos[[#This Row],[CANTIDAD]]*Datos[[#This Row],[IMPORTE]]+Datos[[#This Row],[ENVÍO]]</f>
        <v>84.9</v>
      </c>
    </row>
    <row r="18" spans="2:6" ht="30" customHeight="1">
      <c r="B18" s="43" t="s">
        <v>24</v>
      </c>
      <c r="C18" s="36">
        <v>1</v>
      </c>
      <c r="D18" s="38">
        <v>88.74</v>
      </c>
      <c r="E18" s="38">
        <v>9</v>
      </c>
      <c r="F18" s="35">
        <f>Datos[[#This Row],[CANTIDAD]]*Datos[[#This Row],[IMPORTE]]+Datos[[#This Row],[ENVÍO]]</f>
        <v>97.74</v>
      </c>
    </row>
    <row r="19" spans="2:6" ht="30" customHeight="1">
      <c r="B19" s="43" t="s">
        <v>25</v>
      </c>
      <c r="C19" s="36">
        <v>1</v>
      </c>
      <c r="D19" s="38">
        <v>9</v>
      </c>
      <c r="E19" s="38">
        <v>0</v>
      </c>
      <c r="F19" s="35">
        <f>Datos[[#This Row],[CANTIDAD]]*Datos[[#This Row],[IMPORTE]]+Datos[[#This Row],[ENVÍO]]</f>
        <v>9</v>
      </c>
    </row>
    <row r="20" spans="2:6" ht="30" customHeight="1">
      <c r="B20" s="43" t="s">
        <v>26</v>
      </c>
      <c r="C20" s="36">
        <v>1</v>
      </c>
      <c r="D20" s="38">
        <v>35.950000000000003</v>
      </c>
      <c r="E20" s="38">
        <v>0</v>
      </c>
      <c r="F20" s="35">
        <f>Datos[[#This Row],[CANTIDAD]]*Datos[[#This Row],[IMPORTE]]+Datos[[#This Row],[ENVÍO]]</f>
        <v>35.950000000000003</v>
      </c>
    </row>
    <row r="21" spans="2:6" ht="30" customHeight="1">
      <c r="B21" s="43" t="s">
        <v>27</v>
      </c>
      <c r="C21" s="36">
        <v>20</v>
      </c>
      <c r="D21" s="38">
        <v>4.47</v>
      </c>
      <c r="E21" s="38">
        <v>0</v>
      </c>
      <c r="F21" s="35">
        <f>Datos[[#This Row],[CANTIDAD]]*Datos[[#This Row],[IMPORTE]]+Datos[[#This Row],[ENVÍO]]</f>
        <v>89.399999999999991</v>
      </c>
    </row>
    <row r="22" spans="2:6" ht="30" customHeight="1">
      <c r="B22" s="44" t="s">
        <v>28</v>
      </c>
      <c r="C22" s="36">
        <v>20</v>
      </c>
      <c r="D22" s="38">
        <v>3.25</v>
      </c>
      <c r="E22" s="38">
        <v>0</v>
      </c>
      <c r="F22" s="35">
        <f>Datos[[#This Row],[CANTIDAD]]*Datos[[#This Row],[IMPORTE]]+Datos[[#This Row],[ENVÍO]]</f>
        <v>65</v>
      </c>
    </row>
    <row r="23" spans="2:6" ht="30" customHeight="1">
      <c r="B23" s="45" t="s">
        <v>29</v>
      </c>
      <c r="C23" s="39">
        <v>25</v>
      </c>
      <c r="D23" s="40">
        <v>1.8</v>
      </c>
      <c r="E23" s="40">
        <v>0</v>
      </c>
      <c r="F23" s="35">
        <f>Datos[[#This Row],[CANTIDAD]]*Datos[[#This Row],[IMPORTE]]+Datos[[#This Row],[ENVÍO]]</f>
        <v>45</v>
      </c>
    </row>
    <row r="24" spans="2:6" ht="30" customHeight="1">
      <c r="B24" s="28"/>
      <c r="C24" s="28"/>
      <c r="D24" s="29"/>
      <c r="E24" s="29" t="s">
        <v>30</v>
      </c>
      <c r="F24" s="30">
        <f>SUM(Datos[TOTAL])</f>
        <v>607.18000000000006</v>
      </c>
    </row>
    <row r="25" spans="2:6" ht="30" customHeight="1">
      <c r="B25" s="49" t="str">
        <f>"Todos los cheques se extenderán a nombre de "&amp;Nombre_de_la_empresa&amp;""</f>
        <v>Todos los cheques se extenderán a nombre de CASTORES S.L.</v>
      </c>
      <c r="C25" s="49"/>
      <c r="D25" s="49"/>
      <c r="E25" s="49"/>
    </row>
    <row r="26" spans="2:6" ht="30" customHeight="1">
      <c r="B26" s="48" t="s">
        <v>31</v>
      </c>
      <c r="C26" s="48"/>
      <c r="D26" s="48"/>
      <c r="E26" s="48"/>
    </row>
    <row r="27" spans="2:6" ht="30" customHeight="1">
      <c r="B27" s="31"/>
      <c r="C27" s="31"/>
      <c r="D27" s="31"/>
      <c r="E27" s="31"/>
    </row>
  </sheetData>
  <mergeCells count="7">
    <mergeCell ref="C1:E1"/>
    <mergeCell ref="B26:E26"/>
    <mergeCell ref="B25:E25"/>
    <mergeCell ref="D10:E10"/>
    <mergeCell ref="D11:E11"/>
    <mergeCell ref="B10:C10"/>
    <mergeCell ref="B11:C11"/>
  </mergeCells>
  <phoneticPr fontId="0" type="noConversion"/>
  <dataValidations count="23">
    <dataValidation allowBlank="1" showInputMessage="1" showErrorMessage="1" prompt="Cree una factura con Cargo financiero en esta hoja de cálculo. Escriba los detalles del envío y del cliente, las descripciones y las cantidades. El total a pagar se calcula automáticamente" sqref="A1"/>
    <dataValidation allowBlank="1" showInputMessage="1" showErrorMessage="1" prompt="Escriba el nombre de la compañía que factura, su dirección, ciudad, estado, código postal, números de teléfono y fax y dirección de correo electrónico en las celdas de abajo" sqref="B1"/>
    <dataValidation allowBlank="1" showInputMessage="1" showErrorMessage="1" prompt="Escriba la dirección de correo electrónico de la compañía que factura en esta celda" sqref="B3"/>
    <dataValidation allowBlank="1" showInputMessage="1" showErrorMessage="1" prompt="Escriba el nombre del cliente, el nombre de la empresa, la dirección y el número de teléfono en las celdas de abajo y los detalles de envío en las celdas E8 a E12" sqref="B4"/>
    <dataValidation allowBlank="1" showInputMessage="1" showErrorMessage="1" prompt="Escriba el nombre de la empresa del cliente en esta celda." sqref="B5"/>
    <dataValidation allowBlank="1" showInputMessage="1" showErrorMessage="1" prompt="Escriba la dirección del cliente en esta celda." sqref="B6"/>
    <dataValidation allowBlank="1" showInputMessage="1" showErrorMessage="1" prompt="Escriba la ciudad, el estado y el código postal del cliente en esta celda." sqref="B7"/>
    <dataValidation allowBlank="1" showInputMessage="1" showErrorMessage="1" prompt="Escriba el número de teléfono del cliente en esta celda." sqref="B8"/>
    <dataValidation allowBlank="1" showInputMessage="1" showErrorMessage="1" prompt="Escriba el número de teléfono para el envío en esta celda." sqref="D8"/>
    <dataValidation allowBlank="1" showInputMessage="1" showErrorMessage="1" prompt="Escriba la ciudad, el estado y el código postal de envío en esta celda." sqref="D7"/>
    <dataValidation allowBlank="1" showInputMessage="1" showErrorMessage="1" prompt="Escriba la dirección de envío en esta celda." sqref="D6"/>
    <dataValidation allowBlank="1" showInputMessage="1" showErrorMessage="1" prompt="Escriba el nombre de la empresa de envío en esta celda." sqref="D5"/>
    <dataValidation allowBlank="1" showInputMessage="1" showErrorMessage="1" prompt="Escriba el título del trabajo o proyecto en la celda siguiente" sqref="B10:C10"/>
    <dataValidation allowBlank="1" showInputMessage="1" showErrorMessage="1" prompt="Escriba las condiciones de pago en la celda inferior." sqref="D10:E10"/>
    <dataValidation allowBlank="1" showInputMessage="1" showErrorMessage="1" prompt="Escriba el puesto o el título del proyecto en esta celda. Escriba los términos de pago en la celda de la derecha" sqref="B11:C11"/>
    <dataValidation allowBlank="1" showInputMessage="1" showErrorMessage="1" prompt="Escriba las condiciones de pago en esta celda" sqref="D11:E11"/>
    <dataValidation allowBlank="1" showInputMessage="1" showErrorMessage="1" prompt="Escriba la descripción de la factura en esta columna, debajo de este título. Use los filtros de título para buscar entradas específicas." sqref="B13"/>
    <dataValidation allowBlank="1" showInputMessage="1" showErrorMessage="1" prompt="Escriba la cantidad en esta columna con este título" sqref="C13"/>
    <dataValidation allowBlank="1" showInputMessage="1" showErrorMessage="1" prompt="Escriba el importe en esta columna con este título" sqref="D13"/>
    <dataValidation allowBlank="1" showInputMessage="1" showErrorMessage="1" prompt="El nombre de la compañía se anexa automáticamente en esta celda" sqref="B25:E25"/>
    <dataValidation allowBlank="1" showInputMessage="1" showErrorMessage="1" prompt="El título de esta hoja de cálculo se muestra en esta celda. Escriba los detalles de la factura en las celdas D3 a E5." sqref="C1"/>
    <dataValidation allowBlank="1" showInputMessage="1" showErrorMessage="1" prompt="Escriba la información de envío en las celdas de abajo." sqref="D4:E4"/>
    <dataValidation allowBlank="1" showInputMessage="1" showErrorMessage="1" prompt="El importe total se actualiza automáticamente en la columna con este encabezado. La última celda de la tabla contiene el importe adeudado." sqref="F13"/>
  </dataValidations>
  <hyperlinks>
    <hyperlink ref="B14" r:id="rId1"/>
    <hyperlink ref="B15" r:id="rId2"/>
    <hyperlink ref="B16" r:id="rId3"/>
    <hyperlink ref="B17" r:id="rId4"/>
    <hyperlink ref="B18" r:id="rId5"/>
    <hyperlink ref="B19" r:id="rId6"/>
    <hyperlink ref="B20" r:id="rId7"/>
    <hyperlink ref="B21" r:id="rId8"/>
    <hyperlink ref="B22" r:id="rId9"/>
    <hyperlink ref="B23" r:id="rId10"/>
  </hyperlinks>
  <printOptions horizontalCentered="1"/>
  <pageMargins left="0.4" right="0.4" top="0.4" bottom="0.4" header="0.25" footer="0.25"/>
  <pageSetup paperSize="9" scale="70" fitToHeight="0" orientation="portrait" r:id="rId11"/>
  <headerFooter differentFirst="1">
    <oddFooter>Page &amp;P of &amp;N</oddFooter>
  </headerFooter>
  <drawing r:id="rId12"/>
  <tableParts count="1">
    <tablePart r:id="rId13"/>
  </tableParts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TM04068890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7</vt:i4>
      </vt:variant>
    </vt:vector>
  </HeadingPairs>
  <TitlesOfParts>
    <vt:vector size="8" baseType="lpstr">
      <vt:lpstr>CARGO FINANCIERO</vt:lpstr>
      <vt:lpstr>ColumnTitleRegion2..E12.1</vt:lpstr>
      <vt:lpstr>ColumnTitleRegion3..D14</vt:lpstr>
      <vt:lpstr>Nombre_de_la_empresa</vt:lpstr>
      <vt:lpstr>RegiónTítuloColumna1..B12.1</vt:lpstr>
      <vt:lpstr>RegiónTítuloFila1..E5</vt:lpstr>
      <vt:lpstr>TítuloColumna1</vt:lpstr>
      <vt:lpstr>'CARGO FINANCIERO'!Títulos_a_imprimir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2022-12-20T22:49:39Z</dcterms:created>
  <dcterms:modified xsi:type="dcterms:W3CDTF">2026-10-20T19:43:32Z</dcterms:modified>
  <cp:category/>
  <cp:contentStatus/>
</cp:coreProperties>
</file>